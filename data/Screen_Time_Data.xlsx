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Kevin\ST558\ST542_Project\data\"/>
    </mc:Choice>
  </mc:AlternateContent>
  <xr:revisionPtr revIDLastSave="0" documentId="8_{034F71FF-494D-42BD-9578-0D80E995E1F6}" xr6:coauthVersionLast="47" xr6:coauthVersionMax="47" xr10:uidLastSave="{00000000-0000-0000-0000-000000000000}"/>
  <bookViews>
    <workbookView xWindow="18480" yWindow="1665" windowWidth="18765" windowHeight="20700" xr2:uid="{589B3CC5-A519-498E-A1A6-885E1DAD5A6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9" i="1" l="1" a="1"/>
  <c r="H59" i="1" s="1"/>
  <c r="H58" i="1" a="1"/>
  <c r="H58" i="1" s="1"/>
  <c r="H56" i="1" a="1"/>
  <c r="H56" i="1" s="1"/>
  <c r="H50" i="1" a="1"/>
  <c r="H50" i="1" s="1"/>
  <c r="H48" i="1" a="1"/>
  <c r="H48" i="1" s="1"/>
  <c r="H47" i="1" a="1"/>
  <c r="H47" i="1" s="1"/>
  <c r="H45" i="1" a="1"/>
  <c r="H45" i="1" s="1"/>
  <c r="H43" i="1" a="1"/>
  <c r="H43" i="1" s="1"/>
  <c r="H39" i="1" a="1"/>
  <c r="H39" i="1" s="1"/>
  <c r="H33" i="1" a="1"/>
  <c r="H33" i="1" s="1"/>
  <c r="H32" i="1" a="1"/>
  <c r="H32" i="1" s="1"/>
  <c r="H30" i="1" a="1"/>
  <c r="H30" i="1" s="1"/>
  <c r="H27" i="1" a="1"/>
  <c r="H27" i="1" s="1"/>
  <c r="H26" i="1" a="1"/>
  <c r="H26" i="1" s="1"/>
  <c r="H25" i="1" a="1"/>
  <c r="H25" i="1" s="1"/>
  <c r="H24" i="1" a="1"/>
  <c r="H24" i="1" s="1"/>
  <c r="H23" i="1" a="1"/>
  <c r="H23" i="1" s="1"/>
  <c r="H22" i="1" a="1"/>
  <c r="H22" i="1" s="1"/>
  <c r="H21" i="1" a="1"/>
  <c r="H21" i="1" s="1"/>
  <c r="H20" i="1" a="1"/>
  <c r="H20" i="1" s="1"/>
  <c r="H19" i="1" a="1"/>
  <c r="H19" i="1" s="1"/>
  <c r="H14" i="1" a="1"/>
  <c r="H14" i="1" s="1"/>
  <c r="H12" i="1" a="1"/>
  <c r="H12" i="1" s="1"/>
  <c r="H11" i="1" a="1"/>
  <c r="H11" i="1" s="1"/>
  <c r="H8" i="1" a="1"/>
  <c r="H8" i="1" s="1"/>
  <c r="H7" i="1" a="1"/>
  <c r="H7" i="1" s="1"/>
  <c r="H5" i="1" a="1"/>
  <c r="H5" i="1" s="1"/>
  <c r="H4" i="1" a="1"/>
  <c r="H4" i="1" s="1"/>
  <c r="G59" i="1" a="1"/>
  <c r="G59" i="1" s="1"/>
  <c r="G57" i="1" a="1"/>
  <c r="G57" i="1" s="1"/>
  <c r="G50" i="1" a="1"/>
  <c r="G50" i="1" s="1"/>
  <c r="G47" i="1" a="1"/>
  <c r="G47" i="1" s="1"/>
  <c r="G39" i="1" a="1"/>
  <c r="G39" i="1" s="1"/>
  <c r="G30" i="1" a="1"/>
  <c r="G30" i="1" s="1"/>
  <c r="G26" i="1" a="1"/>
  <c r="G26" i="1" s="1"/>
  <c r="G24" i="1" a="1"/>
  <c r="G24" i="1" s="1"/>
  <c r="G23" i="1" a="1"/>
  <c r="G23" i="1" s="1"/>
  <c r="G21" i="1" a="1"/>
  <c r="G21" i="1" s="1"/>
  <c r="G20" i="1" a="1"/>
  <c r="G20" i="1" s="1"/>
  <c r="G12" i="1" a="1"/>
  <c r="G12" i="1" s="1"/>
  <c r="G11" i="1" a="1"/>
  <c r="G11" i="1" s="1"/>
  <c r="G8" i="1" a="1"/>
  <c r="G8" i="1" s="1"/>
  <c r="G7" i="1" a="1"/>
  <c r="G7" i="1" s="1"/>
  <c r="G5" i="1" a="1"/>
  <c r="G5" i="1" s="1"/>
  <c r="F4" i="1" a="1"/>
  <c r="F4" i="1" s="1"/>
  <c r="F5" i="1" a="1"/>
  <c r="F5" i="1" s="1"/>
  <c r="F7" i="1" a="1"/>
  <c r="F7" i="1" s="1"/>
  <c r="F8" i="1" a="1"/>
  <c r="F8" i="1"/>
  <c r="F11" i="1" a="1"/>
  <c r="F11" i="1"/>
  <c r="F12" i="1" a="1"/>
  <c r="F12" i="1"/>
  <c r="F20" i="1" a="1"/>
  <c r="F20" i="1"/>
  <c r="F21" i="1" a="1"/>
  <c r="F21" i="1"/>
  <c r="F23" i="1" a="1"/>
  <c r="F23" i="1" s="1"/>
  <c r="F24" i="1" a="1"/>
  <c r="F24" i="1" s="1"/>
  <c r="F26" i="1" a="1"/>
  <c r="F26" i="1" s="1"/>
  <c r="F30" i="1" a="1"/>
  <c r="F30" i="1"/>
  <c r="F32" i="1" a="1"/>
  <c r="F32" i="1"/>
  <c r="F39" i="1" a="1"/>
  <c r="F39" i="1"/>
  <c r="F47" i="1" a="1"/>
  <c r="F47" i="1" s="1"/>
  <c r="F50" i="1" a="1"/>
  <c r="F50" i="1" s="1"/>
  <c r="F56" i="1" a="1"/>
  <c r="F56" i="1" s="1"/>
  <c r="F58" i="1" a="1"/>
  <c r="F58" i="1" s="1"/>
  <c r="F59" i="1" a="1"/>
  <c r="F59" i="1"/>
  <c r="E59" i="1" a="1"/>
  <c r="E59" i="1" s="1"/>
  <c r="E58" i="1" a="1"/>
  <c r="E58" i="1" s="1"/>
  <c r="E56" i="1" a="1"/>
  <c r="E56" i="1" s="1"/>
  <c r="E50" i="1" a="1"/>
  <c r="E50" i="1" s="1"/>
  <c r="E47" i="1" a="1"/>
  <c r="E47" i="1" s="1"/>
  <c r="E39" i="1" a="1"/>
  <c r="E39" i="1" s="1"/>
  <c r="E32" i="1" a="1"/>
  <c r="E32" i="1" s="1"/>
  <c r="E30" i="1" a="1"/>
  <c r="E30" i="1" s="1"/>
  <c r="E26" i="1" a="1"/>
  <c r="E26" i="1" s="1"/>
  <c r="E25" i="1" a="1"/>
  <c r="E25" i="1" s="1"/>
  <c r="E24" i="1" a="1"/>
  <c r="E24" i="1" s="1"/>
  <c r="E23" i="1" a="1"/>
  <c r="E23" i="1" s="1"/>
  <c r="E21" i="1" a="1"/>
  <c r="E21" i="1" s="1"/>
  <c r="E12" i="1" a="1"/>
  <c r="E12" i="1" s="1"/>
  <c r="E11" i="1" a="1"/>
  <c r="E11" i="1" s="1"/>
  <c r="E8" i="1" a="1"/>
  <c r="E8" i="1" s="1"/>
  <c r="E7" i="1" a="1"/>
  <c r="E7" i="1" s="1"/>
  <c r="E4" i="1" a="1"/>
  <c r="E4" i="1" s="1"/>
  <c r="D59" i="1" a="1"/>
  <c r="D59" i="1" s="1"/>
  <c r="D56" i="1" a="1"/>
  <c r="D56" i="1" s="1"/>
  <c r="D46" i="1" a="1"/>
  <c r="D46" i="1" s="1"/>
  <c r="D45" i="1" a="1"/>
  <c r="D45" i="1" s="1"/>
  <c r="D39" i="1" a="1"/>
  <c r="D39" i="1" s="1"/>
  <c r="D25" i="1" a="1"/>
  <c r="D25" i="1" s="1"/>
  <c r="D24" i="1" a="1"/>
  <c r="D24" i="1" s="1"/>
  <c r="D23" i="1" a="1"/>
  <c r="D23" i="1" s="1"/>
  <c r="D13" i="1" a="1"/>
  <c r="D13" i="1" s="1"/>
  <c r="D12" i="1" a="1"/>
  <c r="D12" i="1" s="1"/>
  <c r="D11" i="1" a="1"/>
  <c r="D11" i="1" s="1"/>
  <c r="D8" i="1" a="1"/>
  <c r="D8" i="1" s="1"/>
  <c r="D4" i="1" a="1"/>
  <c r="D4"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<sst xmlns="http://schemas.openxmlformats.org/spreadsheetml/2006/main" count="139" uniqueCount="76">
  <si>
    <t>Timestamp</t>
  </si>
  <si>
    <t>Email Address</t>
  </si>
  <si>
    <t>3. If possible, go to “Settings” on your phone and open “Screen Time.” Using the data there, please enter screen time in minutes for each of the last four weeks you were in courses according to your phone with the following details: social media application, dates, minutes spent. Ex: Week 1 (farthest back): TikTok, 213 minutes, Instagram, 133 minutes, etc.</t>
  </si>
  <si>
    <t>ScreenTimeWk1</t>
  </si>
  <si>
    <t>ScreenTimeWk2</t>
  </si>
  <si>
    <t>ScreenTimeWk3</t>
  </si>
  <si>
    <t>ScreenTimeWk4</t>
  </si>
  <si>
    <t>AvgScreenTime</t>
  </si>
  <si>
    <t>acactony@ncsu.edu</t>
  </si>
  <si>
    <t>n/a</t>
  </si>
  <si>
    <t>tstroy@ncsu.edu</t>
  </si>
  <si>
    <t>N/A</t>
  </si>
  <si>
    <t xml:space="preserve">Screen time was turned off </t>
  </si>
  <si>
    <t>lydiagvalentino@gmail.com</t>
  </si>
  <si>
    <t>week 1:(daily average)  tik tok 25 min , instagram 20min, snapchat 80min 
week2: (daily) tik tok 40 min, instagram: 35 min, 60 min snap 
week3: tok tom 80, insta20 , snap 72</t>
  </si>
  <si>
    <t>ccernoc@ncsu.edu</t>
  </si>
  <si>
    <t>I am not able to view all of this data, but here is what I do have:
June 25th - July 2nd: iBooks - 1193 min, Instagram - 235 min, YouTube - 451 min
July 2nd - July 9th: Youtube - 868 min, Instagram - 720 min, iBooks - 586 min</t>
  </si>
  <si>
    <t>jpowell9@ncsu.edu</t>
  </si>
  <si>
    <t xml:space="preserve">I used an old phone that does not have this capability. </t>
  </si>
  <si>
    <t>kagay@ncsu.edu</t>
  </si>
  <si>
    <t xml:space="preserve">Unable to get info for the for Week 1
Week 2 (June 18-25): TikTok 4h40m, Instagram 4h23m, Twitter 2h25m, Snapchat 1h13m
Week 3 (June 25 - July 2): Tiktok 12h4m, Instagram 6h56m, Snapchat 2h31m, Twitter 2h10m
Week 4 (July 2 - 9): Tiktok 10h34m, Instagram 5h5m, Snapchat 3h7m
</t>
  </si>
  <si>
    <t>srfox4@ncsu.edu</t>
  </si>
  <si>
    <t>Week one: Instagram, 339 min, iMessage 245, Snapchat 155 Week two, iMessage 409, Maps 249, Snapchat 242 Week three iMessage 319, Instagram 305, Snapchat 213 Week 4 Map 305, Instagram 250, iMessage 245</t>
  </si>
  <si>
    <t>jlcorrei@ncsu.edu</t>
  </si>
  <si>
    <t>Week 1: Snapchat, 1m, WhatsApp, 84 minutes, Messages, 115 minutes
Week 2: Messages, 334 minutes, WhatsApp, 164 minutes, Snapchat, 76 minutes, Instagram, 23 minutes, FaceTime, 33 minutes 
Week 3: WhatsApp, 510 minutes, Messages, 348 minutes, Snapchat, 102 minutes, Instagram, 76 minutes 
Week 4: Messages, 279 minutes, Instagram, 76 minutes, Snapchat, 52 minutes, WhatsApp, 17 minutes</t>
  </si>
  <si>
    <t>kebierfe@ncsu.edu</t>
  </si>
  <si>
    <t>my screen time is turned off</t>
  </si>
  <si>
    <t>snbanyas@ncsu.edu</t>
  </si>
  <si>
    <t>Week 1: Instagram (480 mins), Messages (180 mins), Snapchat (120 mins)
Week 2: Instagram (661 mins), Messages (150 mins), Snapchat (123 mins)
Week 3: Instagram (960 mins), Messages (182 mins), Snapchat (120 mins)
Week 4: Instagram (484 mins), Messages (90 mins), Snapchat (125 mins)</t>
  </si>
  <si>
    <t>egcoull@ncsu.edu</t>
  </si>
  <si>
    <t>Week 1: TikTok, 335 minutes, Snapchat, 167 minutes, Instagram, 49 minutes
Week 2: TikTok, 424 minutes, Snapchat, 188 minutes, Instagram, 50 minutes
Week 3: TikTok, 378 minutes, Snapchat, 188 minutes, Instagram, 113 minutes
Week 4: TikTok, 621 minutes, Snapchat, 252 minutes, Instagram, 38 minutes, YouTube, 220 minutes</t>
  </si>
  <si>
    <t>lkpehliv@ncsu.edu</t>
  </si>
  <si>
    <t>Tiktok, 162 minutes Instagram, 13 minutes, Snapchat, 40 minutes Youtube, 200 minutes</t>
  </si>
  <si>
    <t>jycauret@ncsu.edu</t>
  </si>
  <si>
    <t>Week average (only goes back 2 for some reason): instagram: 240 minutes, safari: 200 minutes, maps: 120 minutes, dictionary/translator: 110 minutes, messages/what’s app: 100 minutes</t>
  </si>
  <si>
    <t>btwillem@ncsu.edu</t>
  </si>
  <si>
    <t>screen time data was not recorded, an estimate: TikTok, 150 minutes, Twitter, 180 minutes, Instagram, 80 minutes</t>
  </si>
  <si>
    <t>jrblum@ncsu.edu</t>
  </si>
  <si>
    <t>I did not have screen time tracking set up prior to this survey so I don’t have that information.</t>
  </si>
  <si>
    <t>omsuker@ncsu.edu</t>
  </si>
  <si>
    <t>I have my screen time report disabled</t>
  </si>
  <si>
    <t>lcavere2@ncsu.edu</t>
  </si>
  <si>
    <t xml:space="preserve">I don’t have that data </t>
  </si>
  <si>
    <t>ajsims@ncsu.edu</t>
  </si>
  <si>
    <t>WK 3 (farthest back): 4hr37 TikTok most used. does not show minutes spent  WK 4: 7h37 TikTok, most used does not show minutes spent  WK 5: 8h10</t>
  </si>
  <si>
    <t>jnsiddiq@ncsu.edu</t>
  </si>
  <si>
    <t>I don't have data for all weeks, but ...
Week 3: Netflix (5h43m, not by myself fyi), iMessage (5h35m), Safari (2h51m), Google Maps (2h39m), WhatsApp (2h39m), Music (1h29) etc.(all other contributors below 1h) with an average per day of 3h57m
Week 4: Netflix (6h47m), iMessage (6h4m), WhatsApp (3h2m), Safari (2h37m), Google Maps (2h10m) etc.(all other contributors below 1h) with an average per day of 4h6m</t>
  </si>
  <si>
    <t>wjledbet@ncsu.edu</t>
  </si>
  <si>
    <t>First week unavailable 
Week Jun 18-25: Instagram 2h 9m Twitter 2h 7m
Week June 25- July 2: Instagram 2h 34m Twitter 2h 12m
Week July 3-9: Twitter 1h 34m Instagram 1h 34m</t>
  </si>
  <si>
    <t>jvallej@ncsu.edu</t>
  </si>
  <si>
    <t xml:space="preserve">Week 1:  25hr 41min, Week 2: 30hrs 59min, Week 3: 35hrs 9min, Week 4: 35hrs 30min </t>
  </si>
  <si>
    <t>kadavi26@ncsu.edu</t>
  </si>
  <si>
    <t>Week 1: Tiktok, 319minutes, iMessage 304minutes, WhatsApp 202minutes, Safari 201minutes
Week 2: TikTok, 250minutes, WhatsApp 207minutes, Instagram 301minutes, iMessage 147minutes
Week 3: Tiktok: 248minutes, Instagram 218minutes, messages 146minutes, WhatsApp 141minutes
Week 4: TikTok 321minutes, Books 315minutes, iMessage 231minutes, Instagram 111minutes</t>
  </si>
  <si>
    <t>semclam2@ncsu.edu</t>
  </si>
  <si>
    <t>Week 1: what’s app 104 min, maps 46 min, google 32 min, safari 26 min
Week 2: what’s app 428 min, maps 209 min, safari 157 min, photos 95 min, SNCF connect 45 min
Week 3: what’s app 547 min, maps 248 min, safari 65 min, photos 119 min, camera 102
Week 4: maps 234 min, photos 175, what’s app 139, safari 58
(I have Instagram on a 5 minute time limit each day and this is the only social media I use. I barley opened the app while I was on this trip)</t>
  </si>
  <si>
    <t>aedickso@ncsu.edu</t>
  </si>
  <si>
    <t xml:space="preserve">Week 1: daily screen time average 2h 8 min. Week Totals: Messages 5h, Google translate 58 min, Snapchat 45 min, Photos 50 min.  Week 2: Daily screen time average 2h 5 min ,Week Totals: messages week total 5h, safari 1h, Youtube 51min, WhatsApp 38min, Maps 30 min.
Each week is about the same.  </t>
  </si>
  <si>
    <t>hflabraf@ncsu.edu</t>
  </si>
  <si>
    <t>week 1: doesn't show data for before jun 18
week 2:Instagram 11h10m, netflix 5h 45m, google maps 4h 23m, tiktok 4h13m, twitter 3h 44m, whatsapp 3h17m, safari 2hr 49 m
week 3:Instagram 10h52m, netflix 10h 34m, google maps 3h 1m, tiktok 7h25m, twitter 3h 36m, whatsapp 2h31m, safari 1hr 17 m
week 4: Instagram 8h48m, netflix 9h 53m, google maps 2h 31m, tiktok 7h19m, twitter 4h 31m, whatsapp 4h2m, safari 2hr 27 m</t>
  </si>
  <si>
    <t>it only shows me form june 16-23
June 16-23: Average 30 min, 3h 31m total
June 23-30: Average 3h 58 m, 27h 48m total
This week: 6h 35m average, 26h 24m total</t>
  </si>
  <si>
    <t>Week 1: doesn’t go back that far
Week 2: 185 minutes average
- WhatsApp: 245 mins
- Safari: 181 mins
- Snapchat: 133 mins
- Instagram: 112 mins
- Photos: 107 mins
Week 3: 247 minutes average
- instagram: 434 mins
- whatsapp: 189 mins
- Snapchat: 155 mins
- photos: 154 mins
- safari: 127 mins
Week 4: 240 minutes average 
- instagram: 305 mins
- whatsapp: 288 mins
- Snapchat: 220 mins
- photos: 206 mins
- spotify: 107 mins</t>
  </si>
  <si>
    <t xml:space="preserve">my phone only shows data for 2 weeks idk why
week 1(june 23-30): snapchat 333 minutes, instagram: 255 minutes, spotify: 180 minutes
week 2(june 31- july 7): snapchat: 543 minnutes, instagram: 430 minutes, spotify: 192 minutes
</t>
  </si>
  <si>
    <t>week june 16-22: 44.43 hours, week june 23-29: 48.18 hrs, week june 30-july 6: 50.26 hrs</t>
  </si>
  <si>
    <t>For the last week I had 3 hours 30 minute average screen time. It won’t show me any more !</t>
  </si>
  <si>
    <t>Week 1: Instagram, 137 minutes, Snapchat, 37 minutes.  Week 2: Instagram, 59 minutes, Snapchat, 22 minutes.  Week 3: Instagram, 84 minutes, Snapchat, 40 minutes.  Week 4: Instagram, 159 minutes, Snapchat, 32 minutes.</t>
  </si>
  <si>
    <t xml:space="preserve">I don't have this set up </t>
  </si>
  <si>
    <t>first week: 6hr second week: 3:42 third week: 4:02 fourth week: 5</t>
  </si>
  <si>
    <t>Week 1: 2 hours, Week 2: 3 hours, week 3: 3 hours</t>
  </si>
  <si>
    <t xml:space="preserve">
FireFox
1 h 43 m
ChatGPT
58 m
Messages
22 m</t>
  </si>
  <si>
    <t xml:space="preserve">Week 3 (June 15-22 2025) Top 5 Apps: Youtube, 1205 minutes, Instagram, 302 minutes, Messages, 125 minutes, Chrome, 68 minutes, Blue Letter Bible, 49 minutes. 
Week 4 (June 22-29 2025) Top 5 Apps: Youtube, 1138 minutes, Instagram, 408 minutes, Blue Letter Bible, 163 minutes, Photos, 121 minutes, Messages, 116 minutes. 
Week 5 (June 29-July 6 2025) Top 5 Apps: Youtube, 976 minutes, Instagram, 573 minutes, Messages, 234 minutes, Google Maps, 111 minutes, Apple Music, 84 minutes. </t>
  </si>
  <si>
    <t xml:space="preserve">Week 1: 303 mins Week 2: 407 mins Week 3: 113 mins Week 4: 207 mins </t>
  </si>
  <si>
    <t>Week 2: Instagram (639min), TikTok (321min), WhatsApp (278min), X (189min), Discord (38min)
Week 3: TikTok (547min), Instagram (594 min), X (154min), Beli (130min), Discord (13min)
Week 4: Instagram (931min), TikTok (561min), WhatsApp (260min), X (197min), Discord (27min)</t>
  </si>
  <si>
    <t xml:space="preserve">Week 1 : instagram (130 minutes), whatsapp (150 minutes), messages (147 minutes), youtube (89 minutes) 
Week 2 : instagram (178 minutes), whatsapp (166 minutes), messages (120 minutes), youtube ( 102 minutes) 
Week 3 : instagram (133 minutes), whatsapp (65 minutes), messages (150 minutes), youtube (170 minutes) </t>
  </si>
  <si>
    <t>Week 4: Instagram 8h30m, TikTok 7h25m, messages 5h4m, safari 2h32m, Google maps 2h6m</t>
  </si>
  <si>
    <t>Week 2: WhatsApp  440 minutes, Instagram 156 minutes, YouTube 127 minutes
Week 3: WhatsApp 481 minutes, YouTube 243 minutes, Instagram 129 minutes
Week 4: WhatsApp 729 minutes, . . . (Instagram and YouTube were uninstalled)</t>
  </si>
  <si>
    <t>Week 1: Instagram 811 minutes, Discord 354 minutes
Week 2 : Instagram 660 minutes, Discord 399 minutes 
Week 3: Instagram 858 minutes, Discord 193 minutes
Week 4: Instagram 536 minutes, Discord 281 minutes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</si>
</sst>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3" x14ac:knownFonts="1">
    <font>
      <sz val="11"/>
      <color theme="1"/>
      <name val="Aptos Narrow"/>
      <family val="2"/>
      <scheme val="minor"/>
    </font>
    <font>
      <sz val="10"/>
      <color theme="1"/>
      <name val="Arial"/>
      <family val="2"/>
    </font>
    <font>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Border="1"/>
    <xf numFmtId="0" fontId="1" fillId="0" borderId="0" xfId="0" applyFont="1" applyBorder="1" applyAlignment="1">
      <alignment horizontal="left"/>
    </xf>
    <xf numFmtId="49" fontId="2" fillId="0" borderId="0" xfId="0" applyNumberFormat="1" applyFont="1" applyBorder="1" applyAlignment="1">
      <alignment horizontal="left"/>
    </xf>
    <xf numFmtId="164" fontId="1" fillId="0" borderId="0" xfId="0" applyNumberFormat="1" applyFont="1" applyBorder="1" applyAlignment="1">
      <alignment horizontal="left"/>
    </xf>
    <xf numFmtId="0" fontId="2" fillId="0" borderId="0" xfId="0" applyFont="1" applyBorder="1" applyAlignment="1">
      <alignment horizontal="left"/>
    </xf>
    <xf numFmtId="49" fontId="2" fillId="0" borderId="0" xfId="0" applyNumberFormat="1" applyFont="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DFE96-1808-4F0F-801A-4F164A3C07FE}">
  <dimension ref="A1:H63"/>
  <sheetViews>
    <sheetView tabSelected="1" workbookViewId="0">
      <selection activeCell="A2" sqref="A2"/>
    </sheetView>
  </sheetViews>
  <sheetFormatPr defaultRowHeight="15" x14ac:dyDescent="0.25"/>
  <cols>
    <col min="1" max="1" width="18.140625" bestFit="1" customWidth="1"/>
    <col min="2" max="2" width="26.140625" bestFit="1" customWidth="1"/>
    <col min="3" max="3" width="255.7109375" bestFit="1" customWidth="1"/>
    <col min="4" max="7" width="18.85546875" customWidth="1"/>
    <col min="8" max="8" width="16" bestFit="1" customWidth="1"/>
  </cols>
  <sheetData>
    <row r="1" spans="1:8" x14ac:dyDescent="0.25">
      <c r="A1" s="2" t="s">
        <v>0</v>
      </c>
      <c r="B1" s="3" t="s">
        <v>1</v>
      </c>
      <c r="C1" s="3" t="s">
        <v>2</v>
      </c>
      <c r="D1" s="3" t="s">
        <v>3</v>
      </c>
      <c r="E1" s="3" t="s">
        <v>4</v>
      </c>
      <c r="F1" s="3" t="s">
        <v>5</v>
      </c>
      <c r="G1" s="3" t="s">
        <v>6</v>
      </c>
      <c r="H1" s="3" t="s">
        <v>7</v>
      </c>
    </row>
    <row r="2" spans="1:8" x14ac:dyDescent="0.25">
      <c r="A2" s="4">
        <v>45124.200553703704</v>
      </c>
      <c r="B2" s="3" t="s">
        <v>8</v>
      </c>
      <c r="C2" s="3" t="s">
        <v>9</v>
      </c>
      <c r="D2" s="3" t="s">
        <v>9</v>
      </c>
      <c r="E2" s="3" t="s">
        <v>9</v>
      </c>
      <c r="F2" s="3" t="s">
        <v>9</v>
      </c>
      <c r="G2" s="3" t="s">
        <v>9</v>
      </c>
      <c r="H2" s="5"/>
    </row>
    <row r="3" spans="1:8" x14ac:dyDescent="0.25">
      <c r="A3" s="4">
        <v>45120.741362141205</v>
      </c>
      <c r="B3" s="3" t="s">
        <v>10</v>
      </c>
      <c r="C3" s="3" t="s">
        <v>12</v>
      </c>
      <c r="D3" s="3" t="s">
        <v>9</v>
      </c>
      <c r="E3" s="3" t="s">
        <v>9</v>
      </c>
      <c r="F3" s="3" t="s">
        <v>9</v>
      </c>
      <c r="G3" s="3" t="s">
        <v>9</v>
      </c>
      <c r="H3" s="5"/>
    </row>
    <row r="4" spans="1:8" ht="43.5" x14ac:dyDescent="0.25">
      <c r="A4" s="4">
        <v>45121.351013125</v>
      </c>
      <c r="B4" s="3" t="s">
        <v>13</v>
      </c>
      <c r="C4" s="6" t="s">
        <v>14</v>
      </c>
      <c r="D4" s="5" cm="1">
        <f t="array" ref="D4">(25+20+80)*7</f>
        <v>875</v>
      </c>
      <c r="E4" s="5" cm="1">
        <f t="array" ref="E4">(40+35+60)*7</f>
        <v>945</v>
      </c>
      <c r="F4" s="5" cm="1">
        <f t="array" ref="F4">(80+20+72)*7</f>
        <v>1204</v>
      </c>
      <c r="G4" s="3" t="s">
        <v>9</v>
      </c>
      <c r="H4" s="5" cm="1">
        <f t="array" ref="H4">AVERAGE(D4:G4)</f>
        <v>1008</v>
      </c>
    </row>
    <row r="5" spans="1:8" ht="72" x14ac:dyDescent="0.25">
      <c r="A5" s="4">
        <v>45124.888688796302</v>
      </c>
      <c r="B5" s="3" t="s">
        <v>15</v>
      </c>
      <c r="C5" s="6" t="s">
        <v>16</v>
      </c>
      <c r="D5" s="3" t="s">
        <v>9</v>
      </c>
      <c r="E5" s="3" t="s">
        <v>9</v>
      </c>
      <c r="F5" s="5" cm="1">
        <f t="array" ref="F5">1193+235+451</f>
        <v>1879</v>
      </c>
      <c r="G5" s="5" cm="1">
        <f t="array" ref="G5">868+720+586</f>
        <v>2174</v>
      </c>
      <c r="H5" s="5" cm="1">
        <f t="array" ref="H5">AVERAGE(D5:G5)</f>
        <v>2026.5</v>
      </c>
    </row>
    <row r="6" spans="1:8" x14ac:dyDescent="0.25">
      <c r="A6" s="4">
        <v>45122.24019084491</v>
      </c>
      <c r="B6" s="3" t="s">
        <v>17</v>
      </c>
      <c r="C6" s="3" t="s">
        <v>18</v>
      </c>
      <c r="D6" s="3" t="s">
        <v>9</v>
      </c>
      <c r="E6" s="3" t="s">
        <v>9</v>
      </c>
      <c r="F6" s="3" t="s">
        <v>9</v>
      </c>
      <c r="G6" s="3" t="s">
        <v>9</v>
      </c>
      <c r="H6" s="5"/>
    </row>
    <row r="7" spans="1:8" ht="86.25" x14ac:dyDescent="0.25">
      <c r="A7" s="4">
        <v>45122.533581979165</v>
      </c>
      <c r="B7" s="3" t="s">
        <v>19</v>
      </c>
      <c r="C7" s="6" t="s">
        <v>20</v>
      </c>
      <c r="D7" s="3" t="s">
        <v>9</v>
      </c>
      <c r="E7" s="5" cm="1">
        <f t="array" ref="E7">280+263+145+73</f>
        <v>761</v>
      </c>
      <c r="F7" s="5" cm="1">
        <f t="array" ref="F7">724+416+151+130</f>
        <v>1421</v>
      </c>
      <c r="G7" s="5" cm="1">
        <f t="array" ref="G7">634+305+187</f>
        <v>1126</v>
      </c>
      <c r="H7" s="5" cm="1">
        <f t="array" ref="H7">AVERAGE(D7:G7)</f>
        <v>1102.6666666666667</v>
      </c>
    </row>
    <row r="8" spans="1:8" x14ac:dyDescent="0.25">
      <c r="A8" s="4">
        <v>45120.750772060186</v>
      </c>
      <c r="B8" s="3" t="s">
        <v>21</v>
      </c>
      <c r="C8" s="3" t="s">
        <v>22</v>
      </c>
      <c r="D8" s="5" cm="1">
        <f t="array" ref="D8">339+245+155</f>
        <v>739</v>
      </c>
      <c r="E8" s="5" cm="1">
        <f t="array" ref="E8">409+249+242</f>
        <v>900</v>
      </c>
      <c r="F8" s="5" cm="1">
        <f t="array" ref="F8">319+305+213</f>
        <v>837</v>
      </c>
      <c r="G8" s="5" cm="1">
        <f t="array" ref="G8">305+250+245</f>
        <v>800</v>
      </c>
      <c r="H8" s="5" cm="1">
        <f t="array" ref="H8">AVERAGE(D8:G8)</f>
        <v>819</v>
      </c>
    </row>
    <row r="9" spans="1:8" ht="57.75" x14ac:dyDescent="0.25">
      <c r="A9" s="4">
        <v>45120.778015613425</v>
      </c>
      <c r="B9" s="3" t="s">
        <v>23</v>
      </c>
      <c r="C9" s="6" t="s">
        <v>24</v>
      </c>
      <c r="D9" s="5"/>
      <c r="E9" s="5"/>
      <c r="F9" s="5"/>
      <c r="G9" s="5"/>
      <c r="H9" s="5"/>
    </row>
    <row r="10" spans="1:8" x14ac:dyDescent="0.25">
      <c r="A10" s="4">
        <v>45124.550322175928</v>
      </c>
      <c r="B10" s="3" t="s">
        <v>25</v>
      </c>
      <c r="C10" s="3" t="s">
        <v>26</v>
      </c>
      <c r="D10" s="3" t="s">
        <v>9</v>
      </c>
      <c r="E10" s="3" t="s">
        <v>9</v>
      </c>
      <c r="F10" s="3" t="s">
        <v>9</v>
      </c>
      <c r="G10" s="3" t="s">
        <v>9</v>
      </c>
      <c r="H10" s="5"/>
    </row>
    <row r="11" spans="1:8" ht="57.75" x14ac:dyDescent="0.25">
      <c r="A11" s="4">
        <v>45120.766829259257</v>
      </c>
      <c r="B11" s="3" t="s">
        <v>27</v>
      </c>
      <c r="C11" s="6" t="s">
        <v>28</v>
      </c>
      <c r="D11" s="5" cm="1">
        <f t="array" ref="D11">480+180+120</f>
        <v>780</v>
      </c>
      <c r="E11" s="5" cm="1">
        <f t="array" ref="E11">661+150+123</f>
        <v>934</v>
      </c>
      <c r="F11" s="5" cm="1">
        <f t="array" ref="F11">960+182+120</f>
        <v>1262</v>
      </c>
      <c r="G11" s="5" cm="1">
        <f t="array" ref="G11">484+90+125</f>
        <v>699</v>
      </c>
      <c r="H11" s="5" cm="1">
        <f t="array" ref="H11">AVERAGE(D11:G11)</f>
        <v>918.75</v>
      </c>
    </row>
    <row r="12" spans="1:8" ht="57.75" x14ac:dyDescent="0.25">
      <c r="A12" s="4">
        <v>45121.579483298614</v>
      </c>
      <c r="B12" s="3" t="s">
        <v>29</v>
      </c>
      <c r="C12" s="6" t="s">
        <v>30</v>
      </c>
      <c r="D12" s="5" cm="1">
        <f t="array" ref="D12">335+167+49</f>
        <v>551</v>
      </c>
      <c r="E12" s="5" cm="1">
        <f t="array" ref="E12">424+188+50</f>
        <v>662</v>
      </c>
      <c r="F12" s="5" cm="1">
        <f t="array" ref="F12">378+188+113</f>
        <v>679</v>
      </c>
      <c r="G12" s="5" cm="1">
        <f t="array" ref="G12">621+252+38+220</f>
        <v>1131</v>
      </c>
      <c r="H12" s="5" cm="1">
        <f t="array" ref="H12">AVERAGE(D12:G12)</f>
        <v>755.75</v>
      </c>
    </row>
    <row r="13" spans="1:8" x14ac:dyDescent="0.25">
      <c r="A13" s="4">
        <v>45121.66114935185</v>
      </c>
      <c r="B13" s="3" t="s">
        <v>31</v>
      </c>
      <c r="C13" s="3" t="s">
        <v>32</v>
      </c>
      <c r="D13" s="5" cm="1">
        <f t="array" ref="D13">162+13+40+200</f>
        <v>415</v>
      </c>
      <c r="E13" s="3" t="s">
        <v>9</v>
      </c>
      <c r="F13" s="3" t="s">
        <v>9</v>
      </c>
      <c r="G13" s="3" t="s">
        <v>9</v>
      </c>
      <c r="H13" s="5"/>
    </row>
    <row r="14" spans="1:8" x14ac:dyDescent="0.25">
      <c r="A14" s="4">
        <v>45121.704667754631</v>
      </c>
      <c r="B14" s="3" t="s">
        <v>33</v>
      </c>
      <c r="C14" s="3" t="s">
        <v>34</v>
      </c>
      <c r="D14" s="3" t="s">
        <v>9</v>
      </c>
      <c r="E14" s="3" t="s">
        <v>9</v>
      </c>
      <c r="F14" s="3" t="s">
        <v>9</v>
      </c>
      <c r="G14" s="3" t="s">
        <v>9</v>
      </c>
      <c r="H14" s="5" cm="1">
        <f t="array" ref="H14">240+200+120+110+100</f>
        <v>770</v>
      </c>
    </row>
    <row r="15" spans="1:8" x14ac:dyDescent="0.25">
      <c r="A15" s="4">
        <v>45122.907007812501</v>
      </c>
      <c r="B15" s="3" t="s">
        <v>35</v>
      </c>
      <c r="C15" s="3" t="s">
        <v>36</v>
      </c>
      <c r="D15" s="3" t="s">
        <v>9</v>
      </c>
      <c r="E15" s="3" t="s">
        <v>9</v>
      </c>
      <c r="F15" s="3" t="s">
        <v>9</v>
      </c>
      <c r="G15" s="3" t="s">
        <v>9</v>
      </c>
      <c r="H15" s="5"/>
    </row>
    <row r="16" spans="1:8" x14ac:dyDescent="0.25">
      <c r="A16" s="4">
        <v>45120.74703194444</v>
      </c>
      <c r="B16" s="3" t="s">
        <v>37</v>
      </c>
      <c r="C16" s="3" t="s">
        <v>38</v>
      </c>
      <c r="D16" s="3" t="s">
        <v>9</v>
      </c>
      <c r="E16" s="3" t="s">
        <v>9</v>
      </c>
      <c r="F16" s="3" t="s">
        <v>9</v>
      </c>
      <c r="G16" s="3" t="s">
        <v>9</v>
      </c>
      <c r="H16" s="5"/>
    </row>
    <row r="17" spans="1:8" x14ac:dyDescent="0.25">
      <c r="A17" s="4">
        <v>45120.736593263893</v>
      </c>
      <c r="B17" s="3" t="s">
        <v>39</v>
      </c>
      <c r="C17" s="3" t="s">
        <v>40</v>
      </c>
      <c r="D17" s="3" t="s">
        <v>9</v>
      </c>
      <c r="E17" s="3" t="s">
        <v>9</v>
      </c>
      <c r="F17" s="3" t="s">
        <v>9</v>
      </c>
      <c r="G17" s="3" t="s">
        <v>9</v>
      </c>
      <c r="H17" s="5"/>
    </row>
    <row r="18" spans="1:8" x14ac:dyDescent="0.25">
      <c r="A18" s="4">
        <v>45124.641043217591</v>
      </c>
      <c r="B18" s="3" t="s">
        <v>41</v>
      </c>
      <c r="C18" s="3" t="s">
        <v>42</v>
      </c>
      <c r="D18" s="3" t="s">
        <v>9</v>
      </c>
      <c r="E18" s="3" t="s">
        <v>9</v>
      </c>
      <c r="F18" s="3" t="s">
        <v>9</v>
      </c>
      <c r="G18" s="3" t="s">
        <v>9</v>
      </c>
      <c r="H18" s="5"/>
    </row>
    <row r="19" spans="1:8" x14ac:dyDescent="0.25">
      <c r="A19" s="4">
        <v>45120.774002013888</v>
      </c>
      <c r="B19" s="3" t="s">
        <v>43</v>
      </c>
      <c r="C19" s="3" t="s">
        <v>44</v>
      </c>
      <c r="D19" s="3" t="s">
        <v>9</v>
      </c>
      <c r="E19" s="5">
        <v>277</v>
      </c>
      <c r="F19" s="5">
        <v>457</v>
      </c>
      <c r="G19" s="5">
        <v>490</v>
      </c>
      <c r="H19" s="5" cm="1">
        <f t="array" ref="H19">AVERAGE(D19:G19)</f>
        <v>408</v>
      </c>
    </row>
    <row r="20" spans="1:8" ht="72" x14ac:dyDescent="0.25">
      <c r="A20" s="4">
        <v>45125.038282303241</v>
      </c>
      <c r="B20" s="3" t="s">
        <v>45</v>
      </c>
      <c r="C20" s="6" t="s">
        <v>46</v>
      </c>
      <c r="D20" s="3" t="s">
        <v>9</v>
      </c>
      <c r="E20" s="3" t="s">
        <v>9</v>
      </c>
      <c r="F20" s="5" cm="1">
        <f t="array" ref="F20">343+335+171+159+159+89</f>
        <v>1256</v>
      </c>
      <c r="G20" s="5" cm="1">
        <f t="array" ref="G20">407+364+182+157+130</f>
        <v>1240</v>
      </c>
      <c r="H20" s="5" cm="1">
        <f t="array" ref="H20">AVERAGE(D20:G20)</f>
        <v>1248</v>
      </c>
    </row>
    <row r="21" spans="1:8" ht="72" x14ac:dyDescent="0.25">
      <c r="A21" s="4">
        <v>45121.703774618058</v>
      </c>
      <c r="B21" s="3" t="s">
        <v>47</v>
      </c>
      <c r="C21" s="6" t="s">
        <v>48</v>
      </c>
      <c r="D21" s="3" t="s">
        <v>9</v>
      </c>
      <c r="E21" s="5" cm="1">
        <f t="array" ref="E21">129+127</f>
        <v>256</v>
      </c>
      <c r="F21" s="5" cm="1">
        <f t="array" ref="F21">154+132</f>
        <v>286</v>
      </c>
      <c r="G21" s="5" cm="1">
        <f t="array" ref="G21">94+94</f>
        <v>188</v>
      </c>
      <c r="H21" s="5" cm="1">
        <f t="array" ref="H21">AVERAGE(D21:G21)</f>
        <v>243.33333333333334</v>
      </c>
    </row>
    <row r="22" spans="1:8" x14ac:dyDescent="0.25">
      <c r="A22" s="4">
        <v>45120.830117476857</v>
      </c>
      <c r="B22" s="3" t="s">
        <v>49</v>
      </c>
      <c r="C22" s="3" t="s">
        <v>50</v>
      </c>
      <c r="D22" s="5">
        <v>1361</v>
      </c>
      <c r="E22" s="5">
        <v>1859</v>
      </c>
      <c r="F22" s="5">
        <v>2109</v>
      </c>
      <c r="G22" s="5">
        <v>2130</v>
      </c>
      <c r="H22" s="5" cm="1">
        <f t="array" ref="H22">AVERAGE(D22:G22)</f>
        <v>1864.75</v>
      </c>
    </row>
    <row r="23" spans="1:8" ht="57.75" x14ac:dyDescent="0.25">
      <c r="A23" s="4">
        <v>45120.966602037035</v>
      </c>
      <c r="B23" s="3" t="s">
        <v>51</v>
      </c>
      <c r="C23" s="6" t="s">
        <v>52</v>
      </c>
      <c r="D23" s="5" cm="1">
        <f t="array" ref="D23">319+304+202+201</f>
        <v>1026</v>
      </c>
      <c r="E23" s="5" cm="1">
        <f t="array" ref="E23">250+207+301+147</f>
        <v>905</v>
      </c>
      <c r="F23" s="5" cm="1">
        <f t="array" ref="F23">248+218+146+141</f>
        <v>753</v>
      </c>
      <c r="G23" s="5" cm="1">
        <f t="array" ref="G23">321+315+231+111</f>
        <v>978</v>
      </c>
      <c r="H23" s="5" cm="1">
        <f t="array" ref="H23">AVERAGE(D23:G23)</f>
        <v>915.5</v>
      </c>
    </row>
    <row r="24" spans="1:8" ht="72" x14ac:dyDescent="0.25">
      <c r="A24" s="4">
        <v>45120.795848831018</v>
      </c>
      <c r="B24" s="3" t="s">
        <v>53</v>
      </c>
      <c r="C24" s="6" t="s">
        <v>54</v>
      </c>
      <c r="D24" s="5" cm="1">
        <f t="array" ref="D24">104+46+32+26</f>
        <v>208</v>
      </c>
      <c r="E24" s="5" cm="1">
        <f t="array" ref="E24">428+209+157+95+45</f>
        <v>934</v>
      </c>
      <c r="F24" s="5" cm="1">
        <f t="array" ref="F24">547+248+65+119+102</f>
        <v>1081</v>
      </c>
      <c r="G24" s="5" cm="1">
        <f t="array" ref="G24">234+175+139+58</f>
        <v>606</v>
      </c>
      <c r="H24" s="5" cm="1">
        <f t="array" ref="H24">AVERAGE(D24:G24)</f>
        <v>707.25</v>
      </c>
    </row>
    <row r="25" spans="1:8" ht="43.5" x14ac:dyDescent="0.25">
      <c r="A25" s="4">
        <v>45122.738560115744</v>
      </c>
      <c r="B25" s="3" t="s">
        <v>55</v>
      </c>
      <c r="C25" s="6" t="s">
        <v>56</v>
      </c>
      <c r="D25" s="5" cm="1">
        <f t="array" ref="D25">300+58+45+50</f>
        <v>453</v>
      </c>
      <c r="E25" s="5" cm="1">
        <f t="array" ref="E25">300+60+51+38+30</f>
        <v>479</v>
      </c>
      <c r="F25" s="3" t="s">
        <v>9</v>
      </c>
      <c r="G25" s="3" t="s">
        <v>9</v>
      </c>
      <c r="H25" s="5" cm="1">
        <f t="array" ref="H25">AVERAGE(D25:G25)</f>
        <v>466</v>
      </c>
    </row>
    <row r="26" spans="1:8" ht="57.75" x14ac:dyDescent="0.25">
      <c r="A26" s="4">
        <v>45122.041455925922</v>
      </c>
      <c r="B26" s="3" t="s">
        <v>57</v>
      </c>
      <c r="C26" s="6" t="s">
        <v>58</v>
      </c>
      <c r="D26" s="3" t="s">
        <v>9</v>
      </c>
      <c r="E26" s="5" cm="1">
        <f t="array" ref="E26">670+345+263+453+224+197+169</f>
        <v>2321</v>
      </c>
      <c r="F26" s="5" cm="1">
        <f t="array" ref="F26">652+634+181+445+216+151+77</f>
        <v>2356</v>
      </c>
      <c r="G26" s="5" cm="1">
        <f t="array" ref="G26">528+593+151+439+271+242+147</f>
        <v>2371</v>
      </c>
      <c r="H26" s="5" cm="1">
        <f t="array" ref="H26">AVERAGE(D26:G26)</f>
        <v>2349.3333333333335</v>
      </c>
    </row>
    <row r="27" spans="1:8" ht="57.75" x14ac:dyDescent="0.25">
      <c r="A27" s="4">
        <v>45483.591233321757</v>
      </c>
      <c r="B27" s="5"/>
      <c r="C27" s="6" t="s">
        <v>59</v>
      </c>
      <c r="D27" s="3" t="s">
        <v>9</v>
      </c>
      <c r="E27" s="5">
        <v>211</v>
      </c>
      <c r="F27" s="5">
        <v>1668</v>
      </c>
      <c r="G27" s="5">
        <v>1584</v>
      </c>
      <c r="H27" s="5" cm="1">
        <f t="array" ref="H27">AVERAGE(D27:G27)</f>
        <v>1154.3333333333333</v>
      </c>
    </row>
    <row r="28" spans="1:8" x14ac:dyDescent="0.25">
      <c r="A28" s="4">
        <v>45483.599464444444</v>
      </c>
      <c r="B28" s="5"/>
      <c r="C28" s="5"/>
      <c r="D28" s="5"/>
      <c r="E28" s="5"/>
      <c r="F28" s="5"/>
      <c r="G28" s="5"/>
      <c r="H28" s="5"/>
    </row>
    <row r="29" spans="1:8" x14ac:dyDescent="0.25">
      <c r="A29" s="4">
        <v>45483.60303997685</v>
      </c>
      <c r="B29" s="5"/>
      <c r="C29" s="5"/>
      <c r="D29" s="5"/>
      <c r="E29" s="5"/>
      <c r="F29" s="5"/>
      <c r="G29" s="5"/>
      <c r="H29" s="5"/>
    </row>
    <row r="30" spans="1:8" ht="271.5" x14ac:dyDescent="0.25">
      <c r="A30" s="4">
        <v>45483.63100778935</v>
      </c>
      <c r="B30" s="5"/>
      <c r="C30" s="6" t="s">
        <v>60</v>
      </c>
      <c r="D30" s="3" t="s">
        <v>9</v>
      </c>
      <c r="E30" s="5" cm="1">
        <f t="array" ref="E30">245+181+133+112+107</f>
        <v>778</v>
      </c>
      <c r="F30" s="5" cm="1">
        <f t="array" ref="F30">434+189+155+154+127</f>
        <v>1059</v>
      </c>
      <c r="G30" s="5" cm="1">
        <f t="array" ref="G30">305+288+220+206+107</f>
        <v>1126</v>
      </c>
      <c r="H30" s="5" cm="1">
        <f t="array" ref="H30">AVERAGE(D30:G30)</f>
        <v>987.66666666666663</v>
      </c>
    </row>
    <row r="31" spans="1:8" x14ac:dyDescent="0.25">
      <c r="A31" s="4">
        <v>45483.650371631942</v>
      </c>
      <c r="B31" s="5"/>
      <c r="C31" s="5"/>
      <c r="D31" s="5"/>
      <c r="E31" s="5"/>
      <c r="F31" s="5"/>
      <c r="G31" s="5"/>
      <c r="H31" s="5"/>
    </row>
    <row r="32" spans="1:8" ht="57.75" x14ac:dyDescent="0.25">
      <c r="A32" s="4">
        <v>45483.680240335649</v>
      </c>
      <c r="B32" s="5"/>
      <c r="C32" s="6" t="s">
        <v>61</v>
      </c>
      <c r="D32" s="3" t="s">
        <v>9</v>
      </c>
      <c r="E32" s="5" cm="1">
        <f t="array" ref="E32">333+255+180</f>
        <v>768</v>
      </c>
      <c r="F32" s="5" cm="1">
        <f t="array" ref="F32">543+430+192</f>
        <v>1165</v>
      </c>
      <c r="G32" s="3" t="s">
        <v>9</v>
      </c>
      <c r="H32" s="5" cm="1">
        <f t="array" ref="H32">AVERAGE(D32:G32)</f>
        <v>966.5</v>
      </c>
    </row>
    <row r="33" spans="1:8" x14ac:dyDescent="0.25">
      <c r="A33" s="4">
        <v>45483.863208622686</v>
      </c>
      <c r="B33" s="5"/>
      <c r="C33" s="3" t="s">
        <v>62</v>
      </c>
      <c r="D33" s="5">
        <v>2683</v>
      </c>
      <c r="E33" s="5">
        <v>2898</v>
      </c>
      <c r="F33" s="5">
        <v>3026</v>
      </c>
      <c r="G33" s="3" t="s">
        <v>9</v>
      </c>
      <c r="H33" s="5" cm="1">
        <f t="array" ref="H33">AVERAGE(D33:G33)</f>
        <v>2869</v>
      </c>
    </row>
    <row r="34" spans="1:8" x14ac:dyDescent="0.25">
      <c r="A34" s="4">
        <v>45484.432426331019</v>
      </c>
      <c r="B34" s="5"/>
      <c r="C34" s="5"/>
      <c r="D34" s="5"/>
      <c r="E34" s="5"/>
      <c r="F34" s="5"/>
      <c r="G34" s="5"/>
      <c r="H34" s="5"/>
    </row>
    <row r="35" spans="1:8" x14ac:dyDescent="0.25">
      <c r="A35" s="4">
        <v>45484.74011337963</v>
      </c>
      <c r="B35" s="5"/>
      <c r="C35" s="3" t="s">
        <v>63</v>
      </c>
      <c r="D35" s="5"/>
      <c r="E35" s="5"/>
      <c r="F35" s="5">
        <v>210</v>
      </c>
      <c r="G35" s="5"/>
      <c r="H35" s="5"/>
    </row>
    <row r="36" spans="1:8" x14ac:dyDescent="0.25">
      <c r="A36" s="4">
        <v>45488.590129953707</v>
      </c>
      <c r="B36" s="5"/>
      <c r="C36" s="3" t="s">
        <v>11</v>
      </c>
      <c r="D36" s="5"/>
      <c r="E36" s="5"/>
      <c r="F36" s="5"/>
      <c r="G36" s="5"/>
      <c r="H36" s="5"/>
    </row>
    <row r="37" spans="1:8" x14ac:dyDescent="0.25">
      <c r="A37" s="4">
        <v>45493.464063159721</v>
      </c>
      <c r="B37" s="5"/>
      <c r="C37" s="5"/>
      <c r="D37" s="5"/>
      <c r="E37" s="5"/>
      <c r="F37" s="5"/>
      <c r="G37" s="5"/>
      <c r="H37" s="5"/>
    </row>
    <row r="38" spans="1:8" x14ac:dyDescent="0.25">
      <c r="A38" s="4">
        <v>45583.748659178236</v>
      </c>
      <c r="B38" s="5"/>
      <c r="C38" s="5"/>
      <c r="D38" s="5"/>
      <c r="E38" s="5"/>
      <c r="F38" s="5"/>
      <c r="G38" s="5"/>
      <c r="H38" s="5"/>
    </row>
    <row r="39" spans="1:8" x14ac:dyDescent="0.25">
      <c r="A39" s="4">
        <v>45583.839191747684</v>
      </c>
      <c r="B39" s="5"/>
      <c r="C39" s="3" t="s">
        <v>64</v>
      </c>
      <c r="D39" s="5" cm="1">
        <f t="array" ref="D39">137+37</f>
        <v>174</v>
      </c>
      <c r="E39" s="5" cm="1">
        <f t="array" ref="E39">59+22</f>
        <v>81</v>
      </c>
      <c r="F39" s="5" cm="1">
        <f t="array" ref="F39">84+40</f>
        <v>124</v>
      </c>
      <c r="G39" s="5" cm="1">
        <f t="array" ref="G39">159+32</f>
        <v>191</v>
      </c>
      <c r="H39" s="5" cm="1">
        <f t="array" ref="H39">AVERAGE(D39:G39)</f>
        <v>142.5</v>
      </c>
    </row>
    <row r="40" spans="1:8" x14ac:dyDescent="0.25">
      <c r="A40" s="4">
        <v>45584.586853298606</v>
      </c>
      <c r="B40" s="5"/>
      <c r="C40" s="5"/>
      <c r="D40" s="5"/>
      <c r="E40" s="5"/>
      <c r="F40" s="5"/>
      <c r="G40" s="5"/>
      <c r="H40" s="5"/>
    </row>
    <row r="41" spans="1:8" x14ac:dyDescent="0.25">
      <c r="A41" s="4">
        <v>45585.562540023151</v>
      </c>
      <c r="B41" s="5"/>
      <c r="C41" s="5"/>
      <c r="D41" s="5"/>
      <c r="E41" s="5"/>
      <c r="F41" s="5"/>
      <c r="G41" s="5"/>
      <c r="H41" s="5"/>
    </row>
    <row r="42" spans="1:8" x14ac:dyDescent="0.25">
      <c r="A42" s="4">
        <v>45587.685891099536</v>
      </c>
      <c r="B42" s="5"/>
      <c r="C42" s="3" t="s">
        <v>65</v>
      </c>
      <c r="D42" s="5"/>
      <c r="E42" s="5"/>
      <c r="F42" s="5"/>
      <c r="G42" s="5"/>
      <c r="H42" s="5"/>
    </row>
    <row r="43" spans="1:8" x14ac:dyDescent="0.25">
      <c r="A43" s="4">
        <v>45843.614259965281</v>
      </c>
      <c r="B43" s="5"/>
      <c r="C43" s="3" t="s">
        <v>66</v>
      </c>
      <c r="D43" s="5">
        <v>360</v>
      </c>
      <c r="E43" s="5">
        <v>222</v>
      </c>
      <c r="F43" s="5">
        <v>242</v>
      </c>
      <c r="G43" s="5">
        <v>300</v>
      </c>
      <c r="H43" s="5" cm="1">
        <f t="array" ref="H43">AVERAGE(D43:G43)</f>
        <v>281</v>
      </c>
    </row>
    <row r="44" spans="1:8" x14ac:dyDescent="0.25">
      <c r="A44" s="4">
        <v>45843.65740394676</v>
      </c>
      <c r="B44" s="5"/>
      <c r="C44" s="5"/>
      <c r="D44" s="5"/>
      <c r="E44" s="5"/>
      <c r="F44" s="5"/>
      <c r="G44" s="5"/>
      <c r="H44" s="5"/>
    </row>
    <row r="45" spans="1:8" x14ac:dyDescent="0.25">
      <c r="A45" s="4">
        <v>45844.406656342588</v>
      </c>
      <c r="B45" s="5"/>
      <c r="C45" s="3" t="s">
        <v>67</v>
      </c>
      <c r="D45" s="5" cm="1">
        <f t="array" ref="D45">120</f>
        <v>120</v>
      </c>
      <c r="E45" s="5">
        <v>180</v>
      </c>
      <c r="F45" s="5">
        <v>180</v>
      </c>
      <c r="G45" s="3" t="s">
        <v>9</v>
      </c>
      <c r="H45" s="5" cm="1">
        <f t="array" ref="H45">AVERAGE(D45:G45)</f>
        <v>160</v>
      </c>
    </row>
    <row r="46" spans="1:8" ht="129" x14ac:dyDescent="0.25">
      <c r="A46" s="4">
        <v>45844.528457986111</v>
      </c>
      <c r="B46" s="5"/>
      <c r="C46" s="6" t="s">
        <v>68</v>
      </c>
      <c r="D46" s="5" cm="1">
        <f t="array" ref="D46">103+58+22</f>
        <v>183</v>
      </c>
      <c r="E46" s="5"/>
      <c r="F46" s="5"/>
      <c r="G46" s="5"/>
      <c r="H46" s="5"/>
    </row>
    <row r="47" spans="1:8" ht="72" x14ac:dyDescent="0.25">
      <c r="A47" s="4">
        <v>45846.657795462961</v>
      </c>
      <c r="B47" s="5"/>
      <c r="C47" s="6" t="s">
        <v>69</v>
      </c>
      <c r="D47" s="3" t="s">
        <v>9</v>
      </c>
      <c r="E47" s="5" cm="1">
        <f t="array" ref="E47">1205+302+125+68+49</f>
        <v>1749</v>
      </c>
      <c r="F47" s="5" cm="1">
        <f t="array" ref="F47">1138+408+163+121+116</f>
        <v>1946</v>
      </c>
      <c r="G47" s="5" cm="1">
        <f t="array" ref="G47">976+573+234+111+84</f>
        <v>1978</v>
      </c>
      <c r="H47" s="5" cm="1">
        <f t="array" ref="H47">AVERAGE(D47:G47)</f>
        <v>1891</v>
      </c>
    </row>
    <row r="48" spans="1:8" x14ac:dyDescent="0.25">
      <c r="A48" s="4">
        <v>45848.318449421291</v>
      </c>
      <c r="B48" s="5"/>
      <c r="C48" s="3" t="s">
        <v>70</v>
      </c>
      <c r="D48" s="5">
        <v>303</v>
      </c>
      <c r="E48" s="5">
        <v>407</v>
      </c>
      <c r="F48" s="5">
        <v>113</v>
      </c>
      <c r="G48" s="5">
        <v>207</v>
      </c>
      <c r="H48" s="5" cm="1">
        <f t="array" ref="H48">AVERAGE(D48:G48)</f>
        <v>257.5</v>
      </c>
    </row>
    <row r="49" spans="1:8" x14ac:dyDescent="0.25">
      <c r="A49" s="4">
        <v>45849.315706400463</v>
      </c>
      <c r="B49" s="5"/>
      <c r="C49" s="5"/>
      <c r="D49" s="5"/>
      <c r="E49" s="5"/>
      <c r="F49" s="5"/>
      <c r="G49" s="5"/>
      <c r="H49" s="5"/>
    </row>
    <row r="50" spans="1:8" ht="43.5" x14ac:dyDescent="0.25">
      <c r="A50" s="4">
        <v>45850.714447974533</v>
      </c>
      <c r="B50" s="5"/>
      <c r="C50" s="6" t="s">
        <v>71</v>
      </c>
      <c r="D50" s="3" t="s">
        <v>9</v>
      </c>
      <c r="E50" s="5" cm="1">
        <f t="array" ref="E50">639+321+278+189+38</f>
        <v>1465</v>
      </c>
      <c r="F50" s="5" cm="1">
        <f t="array" ref="F50">547+594+154+130+13</f>
        <v>1438</v>
      </c>
      <c r="G50" s="5" cm="1">
        <f t="array" ref="G50">931+561+260+197+27</f>
        <v>1976</v>
      </c>
      <c r="H50" s="5" cm="1">
        <f t="array" ref="H50">AVERAGE(D50:G50)</f>
        <v>1626.3333333333333</v>
      </c>
    </row>
    <row r="51" spans="1:8" x14ac:dyDescent="0.25">
      <c r="A51" s="4">
        <v>45852.866202002318</v>
      </c>
      <c r="B51" s="5"/>
      <c r="C51" s="5"/>
      <c r="D51" s="5"/>
      <c r="E51" s="5"/>
      <c r="F51" s="5"/>
      <c r="G51" s="5"/>
      <c r="H51" s="5"/>
    </row>
    <row r="52" spans="1:8" x14ac:dyDescent="0.25">
      <c r="A52" s="4">
        <v>45860.617359027776</v>
      </c>
      <c r="B52" s="5"/>
      <c r="C52" s="5"/>
      <c r="D52" s="5"/>
      <c r="E52" s="5"/>
      <c r="F52" s="5"/>
      <c r="G52" s="5"/>
      <c r="H52" s="5"/>
    </row>
    <row r="53" spans="1:8" x14ac:dyDescent="0.25">
      <c r="A53" s="4">
        <v>45860.623097233794</v>
      </c>
      <c r="B53" s="5"/>
      <c r="C53" s="5"/>
      <c r="D53" s="5"/>
      <c r="E53" s="5"/>
      <c r="F53" s="5"/>
      <c r="G53" s="5"/>
      <c r="H53" s="5"/>
    </row>
    <row r="54" spans="1:8" x14ac:dyDescent="0.25">
      <c r="A54" s="4">
        <v>45860.624873668981</v>
      </c>
      <c r="B54" s="5"/>
      <c r="C54" s="5"/>
      <c r="D54" s="5"/>
      <c r="E54" s="5"/>
      <c r="F54" s="5"/>
      <c r="G54" s="5"/>
      <c r="H54" s="5"/>
    </row>
    <row r="55" spans="1:8" x14ac:dyDescent="0.25">
      <c r="A55" s="4">
        <v>45860.642098321754</v>
      </c>
      <c r="B55" s="5"/>
      <c r="C55" s="5"/>
      <c r="D55" s="5"/>
      <c r="E55" s="5"/>
      <c r="F55" s="5"/>
      <c r="G55" s="5"/>
      <c r="H55" s="5"/>
    </row>
    <row r="56" spans="1:8" ht="43.5" x14ac:dyDescent="0.25">
      <c r="A56" s="4">
        <v>45860.64557231481</v>
      </c>
      <c r="B56" s="5"/>
      <c r="C56" s="6" t="s">
        <v>72</v>
      </c>
      <c r="D56" s="5" cm="1">
        <f t="array" ref="D56">130+150+147+89</f>
        <v>516</v>
      </c>
      <c r="E56" s="5" cm="1">
        <f t="array" ref="E56">178+166+120+102</f>
        <v>566</v>
      </c>
      <c r="F56" s="5" cm="1">
        <f t="array" ref="F56">133+65+150+170</f>
        <v>518</v>
      </c>
      <c r="G56" s="3" t="s">
        <v>9</v>
      </c>
      <c r="H56" s="5" cm="1">
        <f t="array" ref="H56">AVERAGE(D56:G56)</f>
        <v>533.33333333333337</v>
      </c>
    </row>
    <row r="57" spans="1:8" x14ac:dyDescent="0.25">
      <c r="A57" s="4">
        <v>45860.650165011575</v>
      </c>
      <c r="B57" s="5"/>
      <c r="C57" s="3" t="s">
        <v>73</v>
      </c>
      <c r="D57" s="3" t="s">
        <v>9</v>
      </c>
      <c r="E57" s="3" t="s">
        <v>9</v>
      </c>
      <c r="F57" s="3" t="s">
        <v>9</v>
      </c>
      <c r="G57" s="5" cm="1">
        <f t="array" ref="G57">510+445+304+152+126</f>
        <v>1537</v>
      </c>
      <c r="H57" s="5"/>
    </row>
    <row r="58" spans="1:8" ht="43.5" x14ac:dyDescent="0.25">
      <c r="A58" s="4">
        <v>45860.667371736112</v>
      </c>
      <c r="B58" s="5"/>
      <c r="C58" s="6" t="s">
        <v>74</v>
      </c>
      <c r="D58" s="3" t="s">
        <v>9</v>
      </c>
      <c r="E58" s="5" cm="1">
        <f t="array" ref="E58">440+156+127</f>
        <v>723</v>
      </c>
      <c r="F58" s="5" cm="1">
        <f t="array" ref="F58">481+243+129</f>
        <v>853</v>
      </c>
      <c r="G58" s="5">
        <v>729</v>
      </c>
      <c r="H58" s="5" cm="1">
        <f t="array" ref="H58">AVERAGE(D58:G58)</f>
        <v>768.33333333333337</v>
      </c>
    </row>
    <row r="59" spans="1:8" ht="57.75" x14ac:dyDescent="0.25">
      <c r="A59" s="4">
        <v>45860.74661318287</v>
      </c>
      <c r="B59" s="5"/>
      <c r="C59" s="6" t="s">
        <v>75</v>
      </c>
      <c r="D59" s="5" cm="1">
        <f t="array" ref="D59">811+354</f>
        <v>1165</v>
      </c>
      <c r="E59" s="5" cm="1">
        <f t="array" ref="E59">660+399</f>
        <v>1059</v>
      </c>
      <c r="F59" s="5" cm="1">
        <f t="array" ref="F59">858+193</f>
        <v>1051</v>
      </c>
      <c r="G59" s="5" cm="1">
        <f t="array" ref="G59">536+281</f>
        <v>817</v>
      </c>
      <c r="H59" s="5" cm="1">
        <f t="array" ref="H59">AVERAGE(D59:G59)</f>
        <v>1023</v>
      </c>
    </row>
    <row r="60" spans="1:8" x14ac:dyDescent="0.25">
      <c r="A60" s="4">
        <v>45860.848506736111</v>
      </c>
      <c r="B60" s="5"/>
      <c r="C60" s="5"/>
      <c r="D60" s="5"/>
      <c r="E60" s="5"/>
      <c r="F60" s="5"/>
      <c r="G60" s="5"/>
      <c r="H60" s="5"/>
    </row>
    <row r="61" spans="1:8" x14ac:dyDescent="0.25">
      <c r="A61" s="4">
        <v>45861.829185451388</v>
      </c>
      <c r="B61" s="5"/>
      <c r="C61" s="5"/>
      <c r="D61" s="5"/>
      <c r="E61" s="5"/>
      <c r="F61" s="5"/>
      <c r="G61" s="5"/>
      <c r="H61" s="5"/>
    </row>
    <row r="62" spans="1:8" x14ac:dyDescent="0.25">
      <c r="A62" s="4">
        <v>45861.970749386572</v>
      </c>
      <c r="B62" s="5"/>
      <c r="C62" s="5"/>
      <c r="D62" s="5"/>
      <c r="E62" s="5"/>
      <c r="F62" s="5"/>
      <c r="G62" s="5"/>
      <c r="H62" s="5"/>
    </row>
    <row r="63" spans="1:8" x14ac:dyDescent="0.25">
      <c r="A63" s="1"/>
      <c r="B63" s="1"/>
      <c r="C63" s="1"/>
      <c r="D63" s="1"/>
      <c r="E63" s="1"/>
      <c r="F63" s="1"/>
      <c r="G63" s="1"/>
      <c r="H63"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 Kronk</dc:creator>
  <cp:lastModifiedBy>Kevin Kronk</cp:lastModifiedBy>
  <dcterms:created xsi:type="dcterms:W3CDTF">2025-11-26T23:09:48Z</dcterms:created>
  <dcterms:modified xsi:type="dcterms:W3CDTF">2025-11-26T23:15:04Z</dcterms:modified>
</cp:coreProperties>
</file>